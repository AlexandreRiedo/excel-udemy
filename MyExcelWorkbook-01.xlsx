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loud\Documents\coding\excel-udemy\"/>
    </mc:Choice>
  </mc:AlternateContent>
  <xr:revisionPtr revIDLastSave="0" documentId="13_ncr:1_{007CE775-A7AE-42AB-BCFD-68FCBF23AC89}" xr6:coauthVersionLast="47" xr6:coauthVersionMax="47" xr10:uidLastSave="{00000000-0000-0000-0000-000000000000}"/>
  <bookViews>
    <workbookView xWindow="-108" yWindow="-108" windowWidth="23256" windowHeight="14616" xr2:uid="{F0293400-7C09-4774-BC7F-06B3A771A1B3}"/>
  </bookViews>
  <sheets>
    <sheet name="Monthly Budget" sheetId="1" r:id="rId1"/>
    <sheet name="2027 Monthly Budget" sheetId="2" r:id="rId2"/>
    <sheet name="Monthly Budget Cha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8" i="2" l="1"/>
  <c r="H7" i="2"/>
  <c r="H6" i="2"/>
  <c r="H5" i="2"/>
  <c r="H4" i="2"/>
  <c r="F9" i="2"/>
  <c r="E9" i="2"/>
  <c r="D9" i="2"/>
  <c r="C9" i="2"/>
  <c r="G8" i="2"/>
  <c r="G7" i="2"/>
  <c r="G6" i="2"/>
  <c r="G5" i="2"/>
  <c r="G4" i="2"/>
  <c r="G9" i="2" s="1"/>
  <c r="F13" i="1"/>
  <c r="E13" i="1"/>
  <c r="D13" i="1"/>
  <c r="C13" i="1"/>
  <c r="G12" i="1"/>
  <c r="G11" i="1"/>
  <c r="G10" i="1"/>
  <c r="G9" i="1"/>
  <c r="G8" i="1"/>
  <c r="D15" i="1"/>
  <c r="E15" i="1"/>
  <c r="F15" i="1"/>
  <c r="D16" i="1"/>
  <c r="E16" i="1"/>
  <c r="F16" i="1"/>
  <c r="D17" i="1"/>
  <c r="E17" i="1"/>
  <c r="F17" i="1"/>
  <c r="D18" i="1"/>
  <c r="E18" i="1"/>
  <c r="F18" i="1"/>
  <c r="C18" i="1"/>
  <c r="C17" i="1"/>
  <c r="C16" i="1"/>
  <c r="C15" i="1"/>
  <c r="G16" i="1" l="1"/>
  <c r="G13" i="1"/>
  <c r="H8" i="1" s="1"/>
  <c r="G15" i="1"/>
  <c r="G18" i="1"/>
  <c r="G17" i="1"/>
  <c r="H11" i="1" l="1"/>
  <c r="H12" i="1"/>
  <c r="H9" i="1"/>
  <c r="H10" i="1"/>
</calcChain>
</file>

<file path=xl/sharedStrings.xml><?xml version="1.0" encoding="utf-8"?>
<sst xmlns="http://schemas.openxmlformats.org/spreadsheetml/2006/main" count="23" uniqueCount="13">
  <si>
    <t>Bills</t>
  </si>
  <si>
    <t>Rent</t>
  </si>
  <si>
    <t>Car Payment</t>
  </si>
  <si>
    <t>Insurance</t>
  </si>
  <si>
    <t>Phone</t>
  </si>
  <si>
    <t>Candy</t>
  </si>
  <si>
    <t>Total</t>
  </si>
  <si>
    <t>Percent</t>
  </si>
  <si>
    <t>AVERAGE</t>
  </si>
  <si>
    <t>MIN</t>
  </si>
  <si>
    <t>MAX</t>
  </si>
  <si>
    <t>COUNT</t>
  </si>
  <si>
    <t>Monthly Budget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</si>
</sst>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CHF&quot;\ * #,##0.00_ ;_ &quot;CHF&quot;\ * \-#,##0.00_ ;_ &quot;CHF&quot;\ * &quot;-&quot;??_ ;_ @_ "/>
    <numFmt numFmtId="43" formatCode="_ * #,##0.00_ ;_ * \-#,##0.00_ ;_ * &quot;-&quot;??_ ;_ @_ "/>
    <numFmt numFmtId="164" formatCode="_-* #,##0.00\ [$CHF-100C]_-;\-* #,##0.00\ [$CHF-100C]_-;_-* &quot;-&quot;??\ [$CHF-100C]_-;_-@_-"/>
    <numFmt numFmtId="165" formatCode="[$]mmm;@" x16r2:formatCode16="[$-en-CH,1]mmm;@"/>
  </numFmts>
  <fonts count="5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b/>
      <sz val="11"/>
      <color theme="0" tint="-4.9989318521683403E-2"/>
      <name val="Century Gothic"/>
      <family val="2"/>
      <scheme val="minor"/>
    </font>
    <font>
      <b/>
      <sz val="18"/>
      <color theme="0" tint="-4.9989318521683403E-2"/>
      <name val="Century Gothic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5" borderId="1" applyNumberFormat="0"/>
  </cellStyleXfs>
  <cellXfs count="16">
    <xf numFmtId="0" fontId="0" fillId="0" borderId="0" xfId="0"/>
    <xf numFmtId="14" fontId="0" fillId="0" borderId="0" xfId="0" applyNumberFormat="1"/>
    <xf numFmtId="0" fontId="2" fillId="4" borderId="0" xfId="0" applyFont="1" applyFill="1"/>
    <xf numFmtId="0" fontId="2" fillId="3" borderId="0" xfId="0" applyFont="1" applyFill="1"/>
    <xf numFmtId="0" fontId="2" fillId="4" borderId="1" xfId="0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0" fillId="0" borderId="0" xfId="2" applyNumberFormat="1" applyFont="1" applyBorder="1"/>
    <xf numFmtId="43" fontId="0" fillId="0" borderId="0" xfId="1" applyFont="1"/>
    <xf numFmtId="43" fontId="0" fillId="0" borderId="3" xfId="1" applyFont="1" applyBorder="1"/>
    <xf numFmtId="43" fontId="0" fillId="0" borderId="2" xfId="1" applyFont="1" applyBorder="1"/>
    <xf numFmtId="43" fontId="0" fillId="0" borderId="4" xfId="1" applyFont="1" applyBorder="1"/>
    <xf numFmtId="10" fontId="0" fillId="0" borderId="0" xfId="3" applyNumberFormat="1" applyFont="1"/>
    <xf numFmtId="0" fontId="3" fillId="5" borderId="1" xfId="4"/>
    <xf numFmtId="165" fontId="3" fillId="5" borderId="1" xfId="4" applyNumberFormat="1"/>
    <xf numFmtId="0" fontId="4" fillId="2" borderId="0" xfId="0" applyFont="1" applyFill="1" applyAlignment="1">
      <alignment horizontal="left"/>
    </xf>
  </cellXfs>
  <cellStyles count="5">
    <cellStyle name="Comma" xfId="1" builtinId="3"/>
    <cellStyle name="Currency" xfId="2" builtinId="4"/>
    <cellStyle name="HeaderStyles" xfId="4" xr:uid="{CBF93F23-6808-4A3C-9581-82203297262B}"/>
    <cellStyle name="Normal" xfId="0" builtinId="0"/>
    <cellStyle name="Percent" xfId="3" builtinId="5"/>
  </cellStyles>
  <dxfs count="1">
    <dxf>
      <font>
        <color auto="1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'Monthly Budget'!$E$7</c:f>
              <c:strCache>
                <c:ptCount val="1"/>
                <c:pt idx="0">
                  <c:v>Apr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9C-45C1-BC9E-900F9FEC59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9C-45C1-BC9E-900F9FEC59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A9C-45C1-BC9E-900F9FEC59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A9C-45C1-BC9E-900F9FEC59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A9C-45C1-BC9E-900F9FEC591D}"/>
              </c:ext>
            </c:extLst>
          </c:dPt>
          <c:cat>
            <c:strRef>
              <c:f>'Monthly Budget'!$B$8:$B$12</c:f>
              <c:strCache>
                <c:ptCount val="5"/>
                <c:pt idx="0">
                  <c:v>Rent</c:v>
                </c:pt>
                <c:pt idx="1">
                  <c:v>Car Payment</c:v>
                </c:pt>
                <c:pt idx="2">
                  <c:v>Insurance</c:v>
                </c:pt>
                <c:pt idx="3">
                  <c:v>Phone</c:v>
                </c:pt>
                <c:pt idx="4">
                  <c:v>Candy</c:v>
                </c:pt>
              </c:strCache>
            </c:strRef>
          </c:cat>
          <c:val>
            <c:numRef>
              <c:f>'Monthly Budget'!$E$8:$E$12</c:f>
              <c:numCache>
                <c:formatCode>_(* #,##0.00_);_(* \(#,##0.00\);_(* "-"??_);_(@_)</c:formatCode>
                <c:ptCount val="5"/>
                <c:pt idx="0" formatCode="_-* #,##0.00\ [$CHF-100C]_-;\-* #,##0.00\ [$CHF-100C]_-;_-* &quot;-&quot;??\ [$CHF-100C]_-;_-@_-">
                  <c:v>1200</c:v>
                </c:pt>
                <c:pt idx="1">
                  <c:v>450</c:v>
                </c:pt>
                <c:pt idx="2">
                  <c:v>700</c:v>
                </c:pt>
                <c:pt idx="3">
                  <c:v>125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5-4A37-A345-33872F2C7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strRef>
          <c:f>'Monthly Budget'!$B$5:$H$5</c:f>
          <c:strCache>
            <c:ptCount val="7"/>
            <c:pt idx="0">
              <c:v>Monthly Budget 2026</c:v>
            </c:pt>
          </c:strCache>
        </c:strRef>
      </c:tx>
      <c:layout>
        <c:manualLayout>
          <c:xMode val="edge"/>
          <c:yMode val="edge"/>
          <c:x val="3.7451685641590987E-2"/>
          <c:y val="2.98582672722435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2000" b="1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Budget'!$B$8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chemeClr val="accent2">
                <a:shade val="5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('Monthly Budget'!$C$7,'Monthly Budget'!$F$7)</c:f>
              <c:numCache>
                <mc:AlternateContent xmlns:mc="http://schemas.openxmlformats.org/markup-compatibility/2006">
                  <mc:Choice Requires="c16r2">
                    <c16r2:formatcode2>[$-en-CH,1]mmm;@</c16r2:formatcode2>
                  </mc:Choice>
                  <mc:Fallback>
                    <c:formatCode>[$]mmm;@</c:formatCode>
                  </mc:Fallback>
                </mc:AlternateContent>
                <c:ptCount val="2"/>
                <c:pt idx="0">
                  <c:v>46054</c:v>
                </c:pt>
                <c:pt idx="1">
                  <c:v>46143</c:v>
                </c:pt>
              </c:numCache>
            </c:numRef>
          </c:cat>
          <c:val>
            <c:numRef>
              <c:f>('Monthly Budget'!$C$8,'Monthly Budget'!$F$8)</c:f>
              <c:numCache>
                <c:formatCode>_-* #,##0.00\ [$CHF-100C]_-;\-* #,##0.00\ [$CHF-100C]_-;_-* "-"??\ [$CHF-100C]_-;_-@_-</c:formatCode>
                <c:ptCount val="2"/>
                <c:pt idx="0">
                  <c:v>1200</c:v>
                </c:pt>
                <c:pt idx="1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C-4A89-809A-E984AA7D3F92}"/>
            </c:ext>
          </c:extLst>
        </c:ser>
        <c:ser>
          <c:idx val="1"/>
          <c:order val="1"/>
          <c:tx>
            <c:strRef>
              <c:f>'Monthly Budget'!$B$9</c:f>
              <c:strCache>
                <c:ptCount val="1"/>
                <c:pt idx="0">
                  <c:v>Car Payment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bg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('Monthly Budget'!$C$7,'Monthly Budget'!$F$7)</c:f>
              <c:numCache>
                <mc:AlternateContent xmlns:mc="http://schemas.openxmlformats.org/markup-compatibility/2006">
                  <mc:Choice Requires="c16r2">
                    <c16r2:formatcode2>[$-en-CH,1]mmm;@</c16r2:formatcode2>
                  </mc:Choice>
                  <mc:Fallback>
                    <c:formatCode>[$]mmm;@</c:formatCode>
                  </mc:Fallback>
                </mc:AlternateContent>
                <c:ptCount val="2"/>
                <c:pt idx="0">
                  <c:v>46054</c:v>
                </c:pt>
                <c:pt idx="1">
                  <c:v>46143</c:v>
                </c:pt>
              </c:numCache>
            </c:numRef>
          </c:cat>
          <c:val>
            <c:numRef>
              <c:f>('Monthly Budget'!$C$9,'Monthly Budget'!$F$9)</c:f>
              <c:numCache>
                <c:formatCode>_(* #,##0.00_);_(* \(#,##0.00\);_(* "-"??_);_(@_)</c:formatCode>
                <c:ptCount val="2"/>
                <c:pt idx="0">
                  <c:v>450</c:v>
                </c:pt>
                <c:pt idx="1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9C-4A89-809A-E984AA7D3F92}"/>
            </c:ext>
          </c:extLst>
        </c:ser>
        <c:ser>
          <c:idx val="2"/>
          <c:order val="2"/>
          <c:tx>
            <c:strRef>
              <c:f>'Monthly Budget'!$B$10</c:f>
              <c:strCache>
                <c:ptCount val="1"/>
                <c:pt idx="0">
                  <c:v>Insurance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bg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('Monthly Budget'!$C$7,'Monthly Budget'!$F$7)</c:f>
              <c:numCache>
                <mc:AlternateContent xmlns:mc="http://schemas.openxmlformats.org/markup-compatibility/2006">
                  <mc:Choice Requires="c16r2">
                    <c16r2:formatcode2>[$-en-CH,1]mmm;@</c16r2:formatcode2>
                  </mc:Choice>
                  <mc:Fallback>
                    <c:formatCode>[$]mmm;@</c:formatCode>
                  </mc:Fallback>
                </mc:AlternateContent>
                <c:ptCount val="2"/>
                <c:pt idx="0">
                  <c:v>46054</c:v>
                </c:pt>
                <c:pt idx="1">
                  <c:v>46143</c:v>
                </c:pt>
              </c:numCache>
            </c:numRef>
          </c:cat>
          <c:val>
            <c:numRef>
              <c:f>('Monthly Budget'!$C$10,'Monthly Budget'!$F$10)</c:f>
              <c:numCache>
                <c:formatCode>_(* #,##0.00_);_(* \(#,##0.00\);_(* "-"??_);_(@_)</c:formatCode>
                <c:ptCount val="2"/>
                <c:pt idx="0">
                  <c:v>700</c:v>
                </c:pt>
                <c:pt idx="1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9C-4A89-809A-E984AA7D3F92}"/>
            </c:ext>
          </c:extLst>
        </c:ser>
        <c:ser>
          <c:idx val="3"/>
          <c:order val="3"/>
          <c:tx>
            <c:strRef>
              <c:f>'Monthly Budget'!$B$11</c:f>
              <c:strCache>
                <c:ptCount val="1"/>
                <c:pt idx="0">
                  <c:v>Phone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bg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('Monthly Budget'!$C$7,'Monthly Budget'!$F$7)</c:f>
              <c:numCache>
                <mc:AlternateContent xmlns:mc="http://schemas.openxmlformats.org/markup-compatibility/2006">
                  <mc:Choice Requires="c16r2">
                    <c16r2:formatcode2>[$-en-CH,1]mmm;@</c16r2:formatcode2>
                  </mc:Choice>
                  <mc:Fallback>
                    <c:formatCode>[$]mmm;@</c:formatCode>
                  </mc:Fallback>
                </mc:AlternateContent>
                <c:ptCount val="2"/>
                <c:pt idx="0">
                  <c:v>46054</c:v>
                </c:pt>
                <c:pt idx="1">
                  <c:v>46143</c:v>
                </c:pt>
              </c:numCache>
            </c:numRef>
          </c:cat>
          <c:val>
            <c:numRef>
              <c:f>('Monthly Budget'!$C$11,'Monthly Budget'!$F$11)</c:f>
              <c:numCache>
                <c:formatCode>_(* #,##0.00_);_(* \(#,##0.00\);_(* "-"??_);_(@_)</c:formatCode>
                <c:ptCount val="2"/>
                <c:pt idx="0">
                  <c:v>95</c:v>
                </c:pt>
                <c:pt idx="1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9C-4A89-809A-E984AA7D3F92}"/>
            </c:ext>
          </c:extLst>
        </c:ser>
        <c:ser>
          <c:idx val="4"/>
          <c:order val="4"/>
          <c:tx>
            <c:strRef>
              <c:f>'Monthly Budget'!$B$12</c:f>
              <c:strCache>
                <c:ptCount val="1"/>
                <c:pt idx="0">
                  <c:v>Candy</c:v>
                </c:pt>
              </c:strCache>
            </c:strRef>
          </c:tx>
          <c:spPr>
            <a:solidFill>
              <a:schemeClr val="accent2">
                <a:tint val="5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bg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('Monthly Budget'!$C$7,'Monthly Budget'!$F$7)</c:f>
              <c:numCache>
                <mc:AlternateContent xmlns:mc="http://schemas.openxmlformats.org/markup-compatibility/2006">
                  <mc:Choice Requires="c16r2">
                    <c16r2:formatcode2>[$-en-CH,1]mmm;@</c16r2:formatcode2>
                  </mc:Choice>
                  <mc:Fallback>
                    <c:formatCode>[$]mmm;@</c:formatCode>
                  </mc:Fallback>
                </mc:AlternateContent>
                <c:ptCount val="2"/>
                <c:pt idx="0">
                  <c:v>46054</c:v>
                </c:pt>
                <c:pt idx="1">
                  <c:v>46143</c:v>
                </c:pt>
              </c:numCache>
            </c:numRef>
          </c:cat>
          <c:val>
            <c:numRef>
              <c:f>('Monthly Budget'!$C$12,'Monthly Budget'!$F$12)</c:f>
              <c:numCache>
                <c:formatCode>_(* #,##0.00_);_(* \(#,##0.00\);_(* "-"??_);_(@_)</c:formatCode>
                <c:ptCount val="2"/>
                <c:pt idx="0">
                  <c:v>150</c:v>
                </c:pt>
                <c:pt idx="1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9C-4A89-809A-E984AA7D3F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21079504"/>
        <c:axId val="327760592"/>
      </c:barChart>
      <c:catAx>
        <c:axId val="1621079504"/>
        <c:scaling>
          <c:orientation val="minMax"/>
        </c:scaling>
        <c:delete val="0"/>
        <c:axPos val="b"/>
        <c:numFmt formatCode="[$]mmm;@" c16r2:formatcode2="[$-en-CH,1]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327760592"/>
        <c:crosses val="autoZero"/>
        <c:auto val="0"/>
        <c:lblAlgn val="ctr"/>
        <c:lblOffset val="100"/>
        <c:noMultiLvlLbl val="0"/>
      </c:catAx>
      <c:valAx>
        <c:axId val="32776059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2">
                  <a:lumMod val="25000"/>
                  <a:alpha val="80000"/>
                </a:schemeClr>
              </a:solidFill>
              <a:round/>
            </a:ln>
            <a:effectLst/>
          </c:spPr>
        </c:majorGridlines>
        <c:numFmt formatCode="_-* #,##0.00\ [$CHF-100C]_-;\-* #,##0.00\ [$CHF-100C]_-;_-* &quot;-&quot;??\ [$CHF-100C]_-;_-@_-" sourceLinked="1"/>
        <c:majorTickMark val="none"/>
        <c:minorTickMark val="none"/>
        <c:tickLblPos val="nextTo"/>
        <c:crossAx val="162107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1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ACF6FB9-E3D7-4226-A81E-4525CDC829C1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51955</xdr:colOff>
      <xdr:row>7</xdr:row>
      <xdr:rowOff>34637</xdr:rowOff>
    </xdr:from>
    <xdr:to>
      <xdr:col>8</xdr:col>
      <xdr:colOff>329047</xdr:colOff>
      <xdr:row>7</xdr:row>
      <xdr:rowOff>161637</xdr:rowOff>
    </xdr:to>
    <xdr:sp macro="" textlink="">
      <xdr:nvSpPr>
        <xdr:cNvPr id="7" name="Arrow: Left 6">
          <a:extLst>
            <a:ext uri="{FF2B5EF4-FFF2-40B4-BE49-F238E27FC236}">
              <a16:creationId xmlns:a16="http://schemas.microsoft.com/office/drawing/2014/main" id="{AD3F3358-2647-CFBE-4441-CD58F82741E2}"/>
            </a:ext>
          </a:extLst>
        </xdr:cNvPr>
        <xdr:cNvSpPr/>
      </xdr:nvSpPr>
      <xdr:spPr>
        <a:xfrm>
          <a:off x="8243455" y="860137"/>
          <a:ext cx="277092" cy="127000"/>
        </a:xfrm>
        <a:prstGeom prst="leftArrow">
          <a:avLst>
            <a:gd name="adj1" fmla="val 100000"/>
            <a:gd name="adj2" fmla="val 50000"/>
          </a:avLst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H" sz="1100">
            <a:solidFill>
              <a:schemeClr val="accent1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10</xdr:col>
      <xdr:colOff>24581</xdr:colOff>
      <xdr:row>1</xdr:row>
      <xdr:rowOff>16387</xdr:rowOff>
    </xdr:from>
    <xdr:to>
      <xdr:col>20</xdr:col>
      <xdr:colOff>8193</xdr:colOff>
      <xdr:row>25</xdr:row>
      <xdr:rowOff>163871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8B03240-E1D7-23C1-7E32-D5E4CEC6A0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151" cy="60744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E556F0-78C9-DDD4-A8DE-0C35E26D0CA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 Boardroom">
  <a:themeElements>
    <a:clrScheme name="Ion Boardroom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Ion Boardroom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 Boardroom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5FAC142-B7F5-49AC-AD28-1B8277B0B51D}">
  <we:reference id="wa200010725" version="1.0.0.1" store="en-001" storeType="OMEX"/>
  <we:alternateReferences>
    <we:reference id="WA200010725" version="1.0.0.1" store="WA200010725" storeType="OMEX"/>
  </we:alternateReferences>
  <we:properties>
    <we:property name="claude.fileId" value="&quot;0aae1139-dbb1-4ef6-8faf-895b8b0744f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D2089-6DF9-4F9C-9FAE-6E14054ABA14}">
  <dimension ref="B5:H18"/>
  <sheetViews>
    <sheetView tabSelected="1" zoomScale="93" zoomScaleNormal="93" zoomScalePageLayoutView="81" workbookViewId="0">
      <selection activeCell="H16" sqref="H16"/>
    </sheetView>
  </sheetViews>
  <sheetFormatPr defaultRowHeight="13.8" x14ac:dyDescent="0.25"/>
  <cols>
    <col min="1" max="1" width="3" customWidth="1"/>
    <col min="2" max="2" width="12.8984375" bestFit="1" customWidth="1"/>
    <col min="3" max="6" width="14.09765625" bestFit="1" customWidth="1"/>
    <col min="7" max="7" width="15.09765625" bestFit="1" customWidth="1"/>
    <col min="8" max="8" width="7.796875" bestFit="1" customWidth="1"/>
  </cols>
  <sheetData>
    <row r="5" spans="2:8" ht="23.4" x14ac:dyDescent="0.4">
      <c r="B5" s="15" t="s">
        <v>12</v>
      </c>
      <c r="C5" s="15"/>
      <c r="D5" s="15"/>
      <c r="E5" s="15"/>
      <c r="F5" s="15"/>
      <c r="G5" s="15"/>
      <c r="H5" s="15"/>
    </row>
    <row r="7" spans="2:8" ht="14.4" thickBot="1" x14ac:dyDescent="0.3">
      <c r="B7" s="13" t="s">
        <v>0</v>
      </c>
      <c r="C7" s="14">
        <v>46054</v>
      </c>
      <c r="D7" s="14">
        <v>46082</v>
      </c>
      <c r="E7" s="14">
        <v>46113</v>
      </c>
      <c r="F7" s="14">
        <v>46143</v>
      </c>
      <c r="G7" s="13" t="s">
        <v>6</v>
      </c>
      <c r="H7" s="13" t="s">
        <v>7</v>
      </c>
    </row>
    <row r="8" spans="2:8" x14ac:dyDescent="0.25">
      <c r="B8" s="2" t="s">
        <v>1</v>
      </c>
      <c r="C8" s="5">
        <v>1200</v>
      </c>
      <c r="D8" s="5">
        <v>1200</v>
      </c>
      <c r="E8" s="5">
        <v>1200</v>
      </c>
      <c r="F8" s="5">
        <v>1200</v>
      </c>
      <c r="G8" s="6">
        <f>SUM(C8:F8)</f>
        <v>4800</v>
      </c>
      <c r="H8" s="12">
        <f>G8/$G$13</f>
        <v>0.45999041686631531</v>
      </c>
    </row>
    <row r="9" spans="2:8" x14ac:dyDescent="0.25">
      <c r="B9" s="2" t="s">
        <v>2</v>
      </c>
      <c r="C9" s="8">
        <v>450</v>
      </c>
      <c r="D9" s="8">
        <v>500</v>
      </c>
      <c r="E9" s="8">
        <v>450</v>
      </c>
      <c r="F9" s="8">
        <v>650</v>
      </c>
      <c r="G9" s="9">
        <f>SUM(C9:F9)</f>
        <v>2050</v>
      </c>
      <c r="H9" s="12">
        <f>G9/$G$13</f>
        <v>0.1964542405366555</v>
      </c>
    </row>
    <row r="10" spans="2:8" x14ac:dyDescent="0.25">
      <c r="B10" s="2" t="s">
        <v>3</v>
      </c>
      <c r="C10" s="8">
        <v>700</v>
      </c>
      <c r="D10" s="8">
        <v>700</v>
      </c>
      <c r="E10" s="8">
        <v>700</v>
      </c>
      <c r="F10" s="8">
        <v>700</v>
      </c>
      <c r="G10" s="9">
        <f>SUM(C10:F10)</f>
        <v>2800</v>
      </c>
      <c r="H10" s="12">
        <f>G10/$G$13</f>
        <v>0.26832774317201724</v>
      </c>
    </row>
    <row r="11" spans="2:8" x14ac:dyDescent="0.25">
      <c r="B11" s="2" t="s">
        <v>4</v>
      </c>
      <c r="C11" s="8">
        <v>95</v>
      </c>
      <c r="D11" s="8">
        <v>95</v>
      </c>
      <c r="E11" s="8">
        <v>125</v>
      </c>
      <c r="F11" s="8">
        <v>95</v>
      </c>
      <c r="G11" s="9">
        <f>SUM(C11:F11)</f>
        <v>410</v>
      </c>
      <c r="H11" s="12">
        <f>G11/$G$13</f>
        <v>3.9290848107331099E-2</v>
      </c>
    </row>
    <row r="12" spans="2:8" ht="14.4" thickBot="1" x14ac:dyDescent="0.3">
      <c r="B12" s="4" t="s">
        <v>5</v>
      </c>
      <c r="C12" s="10">
        <v>150</v>
      </c>
      <c r="D12" s="10">
        <v>100</v>
      </c>
      <c r="E12" s="10">
        <v>50</v>
      </c>
      <c r="F12" s="10">
        <v>75</v>
      </c>
      <c r="G12" s="11">
        <f>SUM(C12:F12)</f>
        <v>375</v>
      </c>
      <c r="H12" s="12">
        <f>G12/$G$13</f>
        <v>3.5936751317680884E-2</v>
      </c>
    </row>
    <row r="13" spans="2:8" x14ac:dyDescent="0.25">
      <c r="B13" s="3" t="s">
        <v>6</v>
      </c>
      <c r="C13" s="7">
        <f>SUM(C8:C12)</f>
        <v>2595</v>
      </c>
      <c r="D13" s="7">
        <f>SUM(D8:D12)</f>
        <v>2595</v>
      </c>
      <c r="E13" s="7">
        <f>SUM(E8:E12)</f>
        <v>2525</v>
      </c>
      <c r="F13" s="7">
        <f>SUM(F8:F12)</f>
        <v>2720</v>
      </c>
      <c r="G13" s="6">
        <f>SUM(G8:G12)</f>
        <v>10435</v>
      </c>
    </row>
    <row r="15" spans="2:8" x14ac:dyDescent="0.25">
      <c r="B15" s="2" t="s">
        <v>8</v>
      </c>
      <c r="C15">
        <f>AVERAGE(C8:C12)</f>
        <v>519</v>
      </c>
      <c r="D15">
        <f t="shared" ref="D15:G15" si="0">AVERAGE(D8:D12)</f>
        <v>519</v>
      </c>
      <c r="E15">
        <f t="shared" si="0"/>
        <v>505</v>
      </c>
      <c r="F15">
        <f t="shared" si="0"/>
        <v>544</v>
      </c>
      <c r="G15">
        <f t="shared" si="0"/>
        <v>2087</v>
      </c>
    </row>
    <row r="16" spans="2:8" x14ac:dyDescent="0.25">
      <c r="B16" s="2" t="s">
        <v>9</v>
      </c>
      <c r="C16">
        <f>MIN(C8:C12)</f>
        <v>95</v>
      </c>
      <c r="D16">
        <f t="shared" ref="D16:G16" si="1">MIN(D8:D12)</f>
        <v>95</v>
      </c>
      <c r="E16">
        <f t="shared" si="1"/>
        <v>50</v>
      </c>
      <c r="F16">
        <f t="shared" si="1"/>
        <v>75</v>
      </c>
      <c r="G16">
        <f t="shared" si="1"/>
        <v>375</v>
      </c>
    </row>
    <row r="17" spans="2:7" x14ac:dyDescent="0.25">
      <c r="B17" s="2" t="s">
        <v>10</v>
      </c>
      <c r="C17">
        <f>MAX(C8:C12)</f>
        <v>1200</v>
      </c>
      <c r="D17">
        <f t="shared" ref="D17:G17" si="2">MAX(D8:D12)</f>
        <v>1200</v>
      </c>
      <c r="E17">
        <f t="shared" si="2"/>
        <v>1200</v>
      </c>
      <c r="F17">
        <f t="shared" si="2"/>
        <v>1200</v>
      </c>
      <c r="G17">
        <f t="shared" si="2"/>
        <v>4800</v>
      </c>
    </row>
    <row r="18" spans="2:7" x14ac:dyDescent="0.25">
      <c r="B18" s="2" t="s">
        <v>11</v>
      </c>
      <c r="C18">
        <f>COUNT(C8:C12)</f>
        <v>5</v>
      </c>
      <c r="D18">
        <f t="shared" ref="D18:G18" si="3">COUNT(D8:D12)</f>
        <v>5</v>
      </c>
      <c r="E18">
        <f t="shared" si="3"/>
        <v>5</v>
      </c>
      <c r="F18">
        <f t="shared" si="3"/>
        <v>5</v>
      </c>
      <c r="G18">
        <f t="shared" si="3"/>
        <v>5</v>
      </c>
    </row>
  </sheetData>
  <conditionalFormatting sqref="C8:F12">
    <cfRule type="cellIs" dxfId="0" priority="1" operator="greaterThan">
      <formula>700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120" pageOrder="overThenDown" orientation="landscape" r:id="rId1"/>
  <headerFooter>
    <oddHeader>&amp;RAlexandre RIEDO</oddHeader>
    <oddFooter>&amp;R&amp;P</oddFooter>
  </headerFooter>
  <ignoredErrors>
    <ignoredError sqref="C13:F18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2B424-ECFE-4808-9FD5-FED6011928D6}">
  <dimension ref="B3:H9"/>
  <sheetViews>
    <sheetView workbookViewId="0">
      <selection activeCell="H9" sqref="H9"/>
    </sheetView>
  </sheetViews>
  <sheetFormatPr defaultRowHeight="13.8" x14ac:dyDescent="0.25"/>
  <sheetData>
    <row r="3" spans="2:8" x14ac:dyDescent="0.25">
      <c r="B3" t="s">
        <v>0</v>
      </c>
      <c r="C3" s="1">
        <v>46054</v>
      </c>
      <c r="D3" s="1">
        <v>46082</v>
      </c>
      <c r="E3" s="1">
        <v>46113</v>
      </c>
      <c r="F3" s="1">
        <v>46143</v>
      </c>
      <c r="G3" t="s">
        <v>6</v>
      </c>
      <c r="H3" t="s">
        <v>7</v>
      </c>
    </row>
    <row r="4" spans="2:8" x14ac:dyDescent="0.25">
      <c r="B4" t="s">
        <v>1</v>
      </c>
      <c r="C4">
        <v>1200</v>
      </c>
      <c r="D4">
        <v>1200</v>
      </c>
      <c r="E4">
        <v>1200</v>
      </c>
      <c r="F4">
        <v>1200</v>
      </c>
      <c r="G4">
        <f>SUM(C4:F4)</f>
        <v>4800</v>
      </c>
      <c r="H4">
        <f>G4/$G$9</f>
        <v>0.45999041686631531</v>
      </c>
    </row>
    <row r="5" spans="2:8" x14ac:dyDescent="0.25">
      <c r="B5" t="s">
        <v>2</v>
      </c>
      <c r="C5">
        <v>450</v>
      </c>
      <c r="D5">
        <v>500</v>
      </c>
      <c r="E5">
        <v>450</v>
      </c>
      <c r="F5">
        <v>650</v>
      </c>
      <c r="G5">
        <f>SUM(C5:F5)</f>
        <v>2050</v>
      </c>
      <c r="H5">
        <f>G5/$G$9</f>
        <v>0.1964542405366555</v>
      </c>
    </row>
    <row r="6" spans="2:8" x14ac:dyDescent="0.25">
      <c r="B6" t="s">
        <v>3</v>
      </c>
      <c r="C6">
        <v>700</v>
      </c>
      <c r="D6">
        <v>700</v>
      </c>
      <c r="E6">
        <v>700</v>
      </c>
      <c r="F6">
        <v>700</v>
      </c>
      <c r="G6">
        <f>SUM(C6:F6)</f>
        <v>2800</v>
      </c>
      <c r="H6">
        <f>G6/$G$9</f>
        <v>0.26832774317201724</v>
      </c>
    </row>
    <row r="7" spans="2:8" x14ac:dyDescent="0.25">
      <c r="B7" t="s">
        <v>4</v>
      </c>
      <c r="C7">
        <v>95</v>
      </c>
      <c r="D7">
        <v>95</v>
      </c>
      <c r="E7">
        <v>125</v>
      </c>
      <c r="F7">
        <v>95</v>
      </c>
      <c r="G7">
        <f>SUM(C7:F7)</f>
        <v>410</v>
      </c>
      <c r="H7">
        <f>G7/$G$9</f>
        <v>3.9290848107331099E-2</v>
      </c>
    </row>
    <row r="8" spans="2:8" x14ac:dyDescent="0.25">
      <c r="B8" t="s">
        <v>5</v>
      </c>
      <c r="C8">
        <v>150</v>
      </c>
      <c r="D8">
        <v>100</v>
      </c>
      <c r="E8">
        <v>50</v>
      </c>
      <c r="F8">
        <v>75</v>
      </c>
      <c r="G8">
        <f>SUM(C8:F8)</f>
        <v>375</v>
      </c>
      <c r="H8">
        <f>G8/$G$9</f>
        <v>3.5936751317680884E-2</v>
      </c>
    </row>
    <row r="9" spans="2:8" x14ac:dyDescent="0.25">
      <c r="B9" t="s">
        <v>6</v>
      </c>
      <c r="C9">
        <f>SUM(C4:C8)</f>
        <v>2595</v>
      </c>
      <c r="D9">
        <f>SUM(D4:D8)</f>
        <v>2595</v>
      </c>
      <c r="E9">
        <f>SUM(E4:E8)</f>
        <v>2525</v>
      </c>
      <c r="F9">
        <f>SUM(F4:F8)</f>
        <v>2720</v>
      </c>
      <c r="G9">
        <f>SUM(G4:G8)</f>
        <v>10435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Monthly Budget</vt:lpstr>
      <vt:lpstr>2027 Monthly Budget</vt:lpstr>
      <vt:lpstr>Monthly Budget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Riedo</dc:creator>
  <cp:lastModifiedBy>Alexandre Riedo</cp:lastModifiedBy>
  <cp:lastPrinted>2026-07-16T16:11:22Z</cp:lastPrinted>
  <dcterms:created xsi:type="dcterms:W3CDTF">2026-07-15T14:43:35Z</dcterms:created>
  <dcterms:modified xsi:type="dcterms:W3CDTF">2026-07-16T16:30:12Z</dcterms:modified>
</cp:coreProperties>
</file>
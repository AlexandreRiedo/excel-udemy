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loud\Documents\coding\excel-udemy\bonus\"/>
    </mc:Choice>
  </mc:AlternateContent>
  <xr:revisionPtr revIDLastSave="0" documentId="13_ncr:1_{97D43347-CDB8-4013-969E-A170D0A9A080}" xr6:coauthVersionLast="47" xr6:coauthVersionMax="47" xr10:uidLastSave="{00000000-0000-0000-0000-000000000000}"/>
  <bookViews>
    <workbookView xWindow="-108" yWindow="-108" windowWidth="23256" windowHeight="14616" activeTab="2" xr2:uid="{BF2E566C-C60B-4A43-8572-FA5FEC60B12C}"/>
  </bookViews>
  <sheets>
    <sheet name="Cover Page" sheetId="5" r:id="rId1"/>
    <sheet name="1" sheetId="2" r:id="rId2"/>
    <sheet name="2" sheetId="1" r:id="rId3"/>
    <sheet name="3" sheetId="3" r:id="rId4"/>
    <sheet name="4" sheetId="4" r:id="rId5"/>
  </sheets>
  <definedNames>
    <definedName name="solver_adj" localSheetId="3" hidden="1">'3'!$C$11</definedName>
    <definedName name="solver_cvg" localSheetId="3" hidden="1">0.0001</definedName>
    <definedName name="solver_drv" localSheetId="3" hidden="1">2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0</definedName>
    <definedName name="solver_nwt" localSheetId="3" hidden="1">1</definedName>
    <definedName name="solver_opt" localSheetId="3" hidden="1">'3'!$C$15</definedName>
    <definedName name="solver_pre" localSheetId="3" hidden="1">0.000001</definedName>
    <definedName name="solver_rbv" localSheetId="3" hidden="1">2</definedName>
    <definedName name="solver_rlx" localSheetId="3" hidden="1">2</definedName>
    <definedName name="solver_rsd" localSheetId="3" hidden="1">0</definedName>
    <definedName name="solver_scl" localSheetId="3" hidden="1">2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3</definedName>
    <definedName name="solver_val" localSheetId="3" hidden="1">5000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7" i="4" a="1"/>
  <c r="E7" i="4" s="1"/>
  <c r="D7" i="4" a="1"/>
  <c r="D7" i="4" s="1"/>
  <c r="C7" i="4" a="1"/>
  <c r="C7" i="4" s="1"/>
  <c r="E6" i="4"/>
  <c r="D6" i="4"/>
  <c r="C6" i="4"/>
  <c r="B7" i="2"/>
  <c r="D5" i="4"/>
  <c r="D22" i="4"/>
  <c r="D21" i="4"/>
  <c r="D20" i="4"/>
  <c r="D19" i="4"/>
  <c r="D18" i="4"/>
  <c r="D17" i="4"/>
  <c r="D16" i="4"/>
  <c r="D15" i="4"/>
  <c r="D14" i="4"/>
  <c r="D13" i="4"/>
  <c r="D12" i="4"/>
  <c r="D11" i="4"/>
  <c r="C14" i="3"/>
  <c r="C13" i="3"/>
  <c r="C12" i="3"/>
  <c r="E5" i="4" l="1"/>
  <c r="C15" i="3"/>
  <c r="B8" i="2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<sst xmlns="http://schemas.openxmlformats.org/spreadsheetml/2006/main" count="128" uniqueCount="86">
  <si>
    <t>Q1) Instructions</t>
  </si>
  <si>
    <t>Project A</t>
  </si>
  <si>
    <t>Project B</t>
  </si>
  <si>
    <t>Project C</t>
  </si>
  <si>
    <t>Project D</t>
  </si>
  <si>
    <t>Project E</t>
  </si>
  <si>
    <t>Projects</t>
  </si>
  <si>
    <t>Revenue Est.</t>
  </si>
  <si>
    <t>Profit Est.</t>
  </si>
  <si>
    <t>Decision</t>
  </si>
  <si>
    <t>Revenue</t>
  </si>
  <si>
    <t>Profit</t>
  </si>
  <si>
    <t>Minimum Requirements</t>
  </si>
  <si>
    <t>Q2) Instructions</t>
  </si>
  <si>
    <t>ID</t>
  </si>
  <si>
    <t>Name</t>
  </si>
  <si>
    <t>Brand</t>
  </si>
  <si>
    <t>Country</t>
  </si>
  <si>
    <t>Price</t>
  </si>
  <si>
    <t>Nike</t>
  </si>
  <si>
    <t>Armani</t>
  </si>
  <si>
    <t>Asics</t>
  </si>
  <si>
    <t>France</t>
  </si>
  <si>
    <t>Puma</t>
  </si>
  <si>
    <t>Uniqlo</t>
  </si>
  <si>
    <t>Bill Smith</t>
  </si>
  <si>
    <t>Kennedi Singh</t>
  </si>
  <si>
    <t>Harley Fritz</t>
  </si>
  <si>
    <t>Nyla Novak</t>
  </si>
  <si>
    <t>Ivan Hines</t>
  </si>
  <si>
    <t>Jonah Higgins</t>
  </si>
  <si>
    <t>Jordan Boone</t>
  </si>
  <si>
    <t>Kylee Townsend</t>
  </si>
  <si>
    <t>Nora Rollins</t>
  </si>
  <si>
    <t>Brendan Walls</t>
  </si>
  <si>
    <t>Steven Michael</t>
  </si>
  <si>
    <t>Lucia Mckay</t>
  </si>
  <si>
    <t>Josue Roach</t>
  </si>
  <si>
    <t>Franklin Wright</t>
  </si>
  <si>
    <t>Denzel Flores</t>
  </si>
  <si>
    <t>Bruno Cordova</t>
  </si>
  <si>
    <t>Jaylynn Knapp</t>
  </si>
  <si>
    <t>Bruce Rich</t>
  </si>
  <si>
    <t>Bryce Carpenter</t>
  </si>
  <si>
    <t>Jaidyn Andersen</t>
  </si>
  <si>
    <t>Units</t>
  </si>
  <si>
    <t>Warren Munger</t>
  </si>
  <si>
    <t>Charlie Buffett</t>
  </si>
  <si>
    <t>Kobe James</t>
  </si>
  <si>
    <t>Jordan Bryant</t>
  </si>
  <si>
    <t>Tom Manning</t>
  </si>
  <si>
    <t>Peyton Brady</t>
  </si>
  <si>
    <t>Bob Builder</t>
  </si>
  <si>
    <t>Messi Ronaldo</t>
  </si>
  <si>
    <t>Roger Nadal</t>
  </si>
  <si>
    <t>Rafael Federer</t>
  </si>
  <si>
    <t>Sam Smith</t>
  </si>
  <si>
    <t>Ed Mars</t>
  </si>
  <si>
    <t>Q3) Instructions</t>
  </si>
  <si>
    <t>Assumptions</t>
  </si>
  <si>
    <t>Quantity</t>
  </si>
  <si>
    <t>Units Sold</t>
  </si>
  <si>
    <t>Find the number of shirts we need to sell to reach $5,000 in profit</t>
  </si>
  <si>
    <t>Profitability</t>
  </si>
  <si>
    <t>Price per shirt</t>
  </si>
  <si>
    <t>Fixed Cost</t>
  </si>
  <si>
    <t>Cost per Unit</t>
  </si>
  <si>
    <t>Variable Cost</t>
  </si>
  <si>
    <t>Q4) Instructions</t>
  </si>
  <si>
    <t>Date</t>
  </si>
  <si>
    <t>Mexico</t>
  </si>
  <si>
    <t>United States</t>
  </si>
  <si>
    <t>Canada</t>
  </si>
  <si>
    <t>&lt;- Insert first formula</t>
  </si>
  <si>
    <t>&lt;- Insert second formula</t>
  </si>
  <si>
    <t>Use 2 different formulas to find the revenue for France in each month</t>
  </si>
  <si>
    <t>Fill orange area using a formula that can be copied down to accept or reject a project based on the mimimum requirements</t>
  </si>
  <si>
    <t>Step 1: Highlight in red the 10 lowest orders</t>
  </si>
  <si>
    <t>&lt;- Change units to reach 5k in profit</t>
  </si>
  <si>
    <r>
      <t>Get 10%</t>
    </r>
    <r>
      <rPr>
        <b/>
        <sz val="16"/>
        <color theme="1"/>
        <rFont val="Calibri"/>
        <family val="2"/>
        <scheme val="minor"/>
      </rPr>
      <t xml:space="preserve">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</si>
  <si>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&amp; Finance Course</t>
  </si>
  <si>
    <t>Made by Kenji Explains / Career Principles</t>
  </si>
  <si>
    <t>Note</t>
  </si>
  <si>
    <t>All content is copyright material of Kenji Explains / Career Principles</t>
  </si>
  <si>
    <t>This Excel model may not be reproduced or distributed by any means, including printing, 
screencapturing, or any other method without the prior permission of the publisher.</t>
  </si>
  <si>
    <t>Excel Test Start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</si>
</sst>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_);[Red]\(&quot;$&quot;#,##0\)"/>
    <numFmt numFmtId="165" formatCode="_(* #,##0.00_);_(* \(#,##0.00\);_(* &quot;-&quot;??_);_(@_)"/>
    <numFmt numFmtId="166" formatCode="_-* #,##0.00_-;\-* #,##0.00_-;_-* &quot;-&quot;??_-;_-@_-"/>
    <numFmt numFmtId="167" formatCode="[$$-409]#,##0"/>
    <numFmt numFmtId="168" formatCode="_(* #,##0_);_(* \(#,##0\);_(* &quot;-&quot;??_);_(@_)"/>
    <numFmt numFmtId="169" formatCode="[$$-409]#,##0.00"/>
    <numFmt numFmtId="170" formatCode="_(* #,##0.0_);_(* \(#,##0.0\);_(* &quot;-&quot;??_);_(@_)"/>
  </numFmts>
  <fonts count="1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432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42"/>
      <color theme="1"/>
      <name val="Calibri"/>
      <family val="2"/>
      <scheme val="minor"/>
    </font>
    <font>
      <b/>
      <sz val="5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20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4"/>
      <color rgb="FF0432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293D6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2A3E6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5">
    <xf numFmtId="0" fontId="0" fillId="0" borderId="0"/>
    <xf numFmtId="166" fontId="2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1" fillId="0" borderId="0"/>
    <xf numFmtId="0" fontId="13" fillId="0" borderId="0" applyNumberFormat="0" applyFill="0" applyBorder="0" applyAlignment="0" applyProtection="0"/>
  </cellStyleXfs>
  <cellXfs count="51">
    <xf numFmtId="0" fontId="0" fillId="0" borderId="0" xfId="0"/>
    <xf numFmtId="0" fontId="0" fillId="2" borderId="0" xfId="0" applyFill="1"/>
    <xf numFmtId="0" fontId="3" fillId="3" borderId="0" xfId="0" applyFont="1" applyFill="1"/>
    <xf numFmtId="0" fontId="0" fillId="0" borderId="0" xfId="0" applyAlignment="1">
      <alignment horizontal="left"/>
    </xf>
    <xf numFmtId="167" fontId="0" fillId="0" borderId="0" xfId="0" applyNumberFormat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2" borderId="0" xfId="0" applyFont="1" applyFill="1"/>
    <xf numFmtId="164" fontId="0" fillId="0" borderId="0" xfId="0" applyNumberFormat="1" applyAlignment="1">
      <alignment horizontal="center"/>
    </xf>
    <xf numFmtId="0" fontId="3" fillId="5" borderId="0" xfId="0" applyFont="1" applyFill="1" applyAlignment="1">
      <alignment horizontal="center" wrapText="1"/>
    </xf>
    <xf numFmtId="3" fontId="0" fillId="0" borderId="0" xfId="1" applyNumberFormat="1" applyFont="1" applyAlignment="1">
      <alignment horizontal="center" vertical="center"/>
    </xf>
    <xf numFmtId="0" fontId="3" fillId="5" borderId="0" xfId="0" applyFont="1" applyFill="1" applyAlignment="1">
      <alignment horizontal="center"/>
    </xf>
    <xf numFmtId="168" fontId="5" fillId="0" borderId="0" xfId="1" applyNumberFormat="1" applyFont="1"/>
    <xf numFmtId="165" fontId="5" fillId="0" borderId="0" xfId="1" applyNumberFormat="1" applyFont="1"/>
    <xf numFmtId="0" fontId="0" fillId="0" borderId="0" xfId="0" applyAlignment="1">
      <alignment horizontal="left" indent="1"/>
    </xf>
    <xf numFmtId="168" fontId="2" fillId="0" borderId="0" xfId="1" applyNumberFormat="1" applyFont="1" applyAlignment="1">
      <alignment horizontal="center"/>
    </xf>
    <xf numFmtId="169" fontId="0" fillId="0" borderId="0" xfId="0" applyNumberFormat="1" applyAlignment="1">
      <alignment horizontal="center"/>
    </xf>
    <xf numFmtId="169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0" fontId="4" fillId="6" borderId="1" xfId="0" applyFont="1" applyFill="1" applyBorder="1" applyAlignment="1">
      <alignment horizontal="left"/>
    </xf>
    <xf numFmtId="168" fontId="4" fillId="6" borderId="1" xfId="0" applyNumberFormat="1" applyFont="1" applyFill="1" applyBorder="1"/>
    <xf numFmtId="1" fontId="0" fillId="0" borderId="0" xfId="0" applyNumberFormat="1"/>
    <xf numFmtId="17" fontId="0" fillId="0" borderId="0" xfId="0" applyNumberFormat="1"/>
    <xf numFmtId="164" fontId="0" fillId="4" borderId="0" xfId="0" applyNumberFormat="1" applyFill="1" applyAlignment="1">
      <alignment horizontal="center"/>
    </xf>
    <xf numFmtId="17" fontId="3" fillId="3" borderId="0" xfId="0" applyNumberFormat="1" applyFont="1" applyFill="1" applyAlignment="1">
      <alignment horizontal="center"/>
    </xf>
    <xf numFmtId="0" fontId="0" fillId="4" borderId="0" xfId="0" applyFill="1" applyAlignment="1">
      <alignment horizontal="center"/>
    </xf>
    <xf numFmtId="170" fontId="2" fillId="4" borderId="0" xfId="1" applyNumberFormat="1" applyFont="1" applyFill="1" applyAlignment="1">
      <alignment horizontal="center"/>
    </xf>
    <xf numFmtId="0" fontId="1" fillId="0" borderId="2" xfId="3" applyBorder="1"/>
    <xf numFmtId="0" fontId="8" fillId="0" borderId="3" xfId="3" applyFont="1" applyBorder="1" applyAlignment="1">
      <alignment horizontal="center" vertical="center"/>
    </xf>
    <xf numFmtId="0" fontId="1" fillId="0" borderId="4" xfId="3" applyBorder="1"/>
    <xf numFmtId="0" fontId="1" fillId="7" borderId="0" xfId="3" applyFill="1"/>
    <xf numFmtId="0" fontId="1" fillId="0" borderId="5" xfId="3" applyBorder="1"/>
    <xf numFmtId="0" fontId="9" fillId="0" borderId="0" xfId="3" applyFont="1" applyAlignment="1">
      <alignment horizontal="center" vertical="center"/>
    </xf>
    <xf numFmtId="0" fontId="1" fillId="0" borderId="6" xfId="3" applyBorder="1"/>
    <xf numFmtId="0" fontId="1" fillId="0" borderId="0" xfId="3"/>
    <xf numFmtId="0" fontId="2" fillId="0" borderId="5" xfId="3" applyFont="1" applyBorder="1"/>
    <xf numFmtId="0" fontId="10" fillId="0" borderId="0" xfId="3" applyFont="1" applyAlignment="1">
      <alignment horizontal="center"/>
    </xf>
    <xf numFmtId="0" fontId="2" fillId="0" borderId="6" xfId="3" applyFont="1" applyBorder="1"/>
    <xf numFmtId="0" fontId="2" fillId="7" borderId="0" xfId="3" applyFont="1" applyFill="1"/>
    <xf numFmtId="0" fontId="10" fillId="0" borderId="0" xfId="3" applyFont="1"/>
    <xf numFmtId="0" fontId="1" fillId="0" borderId="5" xfId="3" applyBorder="1" applyAlignment="1">
      <alignment vertical="center"/>
    </xf>
    <xf numFmtId="0" fontId="12" fillId="8" borderId="7" xfId="2" applyFont="1" applyFill="1" applyBorder="1" applyAlignment="1">
      <alignment horizontal="center" vertical="center"/>
    </xf>
    <xf numFmtId="0" fontId="1" fillId="0" borderId="6" xfId="3" applyBorder="1" applyAlignment="1">
      <alignment vertical="center"/>
    </xf>
    <xf numFmtId="0" fontId="1" fillId="7" borderId="0" xfId="3" applyFill="1" applyAlignment="1">
      <alignment vertical="center"/>
    </xf>
    <xf numFmtId="0" fontId="14" fillId="0" borderId="0" xfId="4" applyFont="1" applyFill="1" applyBorder="1"/>
    <xf numFmtId="0" fontId="6" fillId="0" borderId="8" xfId="3" applyFont="1" applyBorder="1"/>
    <xf numFmtId="0" fontId="1" fillId="0" borderId="0" xfId="3" applyAlignment="1">
      <alignment vertical="top" wrapText="1"/>
    </xf>
    <xf numFmtId="0" fontId="1" fillId="0" borderId="9" xfId="3" applyBorder="1"/>
    <xf numFmtId="0" fontId="1" fillId="0" borderId="8" xfId="3" applyBorder="1"/>
    <xf numFmtId="0" fontId="1" fillId="0" borderId="10" xfId="3" applyBorder="1"/>
    <xf numFmtId="0" fontId="3" fillId="3" borderId="0" xfId="0" applyFont="1" applyFill="1" applyAlignment="1">
      <alignment horizontal="center"/>
    </xf>
  </cellXfs>
  <cellStyles count="5">
    <cellStyle name="Comma" xfId="1" builtinId="3"/>
    <cellStyle name="Hyperlink" xfId="2" builtinId="8"/>
    <cellStyle name="Hyperlink 2 2" xfId="4" xr:uid="{65F4D5EC-BBED-4161-937E-92BEC05D8A5C}"/>
    <cellStyle name="Normal" xfId="0" builtinId="0"/>
    <cellStyle name="Normal 2" xfId="3" xr:uid="{F4B72106-A066-40E9-ADAE-0F76BCDF2971}"/>
  </cellStyles>
  <dxfs count="11"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ill>
        <patternFill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293D68"/>
        </patternFill>
      </fill>
    </dxf>
    <dxf>
      <numFmt numFmtId="167" formatCode="[$$-409]#,##0"/>
      <alignment horizontal="center" vertical="bottom" textRotation="0" wrapText="0" indent="0" justifyLastLine="0" shrinkToFit="0" readingOrder="0"/>
    </dxf>
    <dxf>
      <numFmt numFmtId="167" formatCode="[$$-409]#,##0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293D68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2434775</xdr:colOff>
      <xdr:row>4</xdr:row>
      <xdr:rowOff>190501</xdr:rowOff>
    </xdr:from>
    <xdr:ext cx="3050985" cy="865353"/>
    <xdr:pic>
      <xdr:nvPicPr>
        <xdr:cNvPr id="2" name="Picture 1">
          <a:extLst>
            <a:ext uri="{FF2B5EF4-FFF2-40B4-BE49-F238E27FC236}">
              <a16:creationId xmlns:a16="http://schemas.microsoft.com/office/drawing/2014/main" id="{06E0839C-C848-4411-92EE-7286B9AC5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7475" y="1419226"/>
          <a:ext cx="3050985" cy="865353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D3682C-EDDD-4021-8773-BB50D02ABF41}" name="Table1" displayName="Table1" ref="B5:E37" totalsRowShown="0" headerRowDxfId="7">
  <autoFilter ref="B5:E37" xr:uid="{F2D3682C-EDDD-4021-8773-BB50D02ABF41}"/>
  <tableColumns count="4">
    <tableColumn id="1" xr3:uid="{10C72C09-539B-49F4-8E32-AA771A4E77E7}" name="ID" dataDxfId="10">
      <calculatedColumnFormula>B5+3</calculatedColumnFormula>
    </tableColumn>
    <tableColumn id="2" xr3:uid="{1732F361-01D1-46F2-B9E3-726894F255F3}" name="Name"/>
    <tableColumn id="3" xr3:uid="{4C450E00-E96C-422A-A98D-8A3D2B34BB70}" name="Brand" dataDxfId="9"/>
    <tableColumn id="4" xr3:uid="{9B298821-FCC5-46A4-98EB-902C87BB8B13}" name="Units" dataDxfId="8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F8D179-6788-46B7-907F-0F4AF399A128}" name="Table2" displayName="Table2" ref="B5:E10" totalsRowShown="0" headerRowDxfId="2">
  <autoFilter ref="B5:E10" xr:uid="{C6F8D179-6788-46B7-907F-0F4AF399A128}"/>
  <tableColumns count="4">
    <tableColumn id="1" xr3:uid="{0E26CEDD-0AB4-4959-B7A5-C1451929D005}" name="Projects" dataDxfId="5"/>
    <tableColumn id="2" xr3:uid="{842A7E02-60B0-4BDE-8682-C2CDCC267C80}" name="Revenue Est." dataDxfId="4"/>
    <tableColumn id="3" xr3:uid="{5A31F149-88AB-4AD2-BDF5-008BF7D5683C}" name="Profit Est." dataDxfId="3"/>
    <tableColumn id="4" xr3:uid="{D2F00117-5EE2-4921-B351-BACF32CD1946}" name="Decision" dataDxfId="0">
      <calculatedColumnFormula>IF(AND(Table2[[#This Row],[Revenue Est.]]&gt;=$H$6,Table2[[#This Row],[Profit Est.]]&gt;=$H$7),"Accept","Reject")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?utm_source=YTDownloadFile&amp;utm_medium=excel-test-april-23-2023&amp;utm_campaign=YTDownload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A552A-751A-404D-A026-D0123C9CC4C8}">
  <sheetPr codeName="Sheet6"/>
  <dimension ref="B4:D19"/>
  <sheetViews>
    <sheetView showGridLines="0" zoomScale="70" zoomScaleNormal="70" workbookViewId="0">
      <selection activeCell="C4" sqref="C4"/>
    </sheetView>
  </sheetViews>
  <sheetFormatPr defaultColWidth="9.5" defaultRowHeight="14.4" x14ac:dyDescent="0.3"/>
  <cols>
    <col min="1" max="1" width="9.5" style="30"/>
    <col min="2" max="2" width="7.296875" style="30" customWidth="1"/>
    <col min="3" max="3" width="96.69921875" style="30" bestFit="1" customWidth="1"/>
    <col min="4" max="4" width="8.19921875" style="30" customWidth="1"/>
    <col min="5" max="16384" width="9.5" style="30"/>
  </cols>
  <sheetData>
    <row r="4" spans="2:4" ht="54" x14ac:dyDescent="0.3">
      <c r="B4" s="27"/>
      <c r="C4" s="28" t="s">
        <v>85</v>
      </c>
      <c r="D4" s="29"/>
    </row>
    <row r="5" spans="2:4" ht="63.6" x14ac:dyDescent="0.3">
      <c r="B5" s="31"/>
      <c r="C5" s="32"/>
      <c r="D5" s="33"/>
    </row>
    <row r="6" spans="2:4" x14ac:dyDescent="0.3">
      <c r="B6" s="31"/>
      <c r="C6" s="34"/>
      <c r="D6" s="33"/>
    </row>
    <row r="7" spans="2:4" x14ac:dyDescent="0.3">
      <c r="B7" s="31"/>
      <c r="C7" s="34"/>
      <c r="D7" s="33"/>
    </row>
    <row r="8" spans="2:4" x14ac:dyDescent="0.3">
      <c r="B8" s="31"/>
      <c r="C8" s="34"/>
      <c r="D8" s="33"/>
    </row>
    <row r="9" spans="2:4" s="38" customFormat="1" ht="21" x14ac:dyDescent="0.4">
      <c r="B9" s="35"/>
      <c r="C9" s="36" t="s">
        <v>79</v>
      </c>
      <c r="D9" s="37"/>
    </row>
    <row r="10" spans="2:4" s="38" customFormat="1" ht="21" x14ac:dyDescent="0.4">
      <c r="B10" s="35"/>
      <c r="C10" s="39"/>
      <c r="D10" s="37"/>
    </row>
    <row r="11" spans="2:4" s="43" customFormat="1" ht="23.55" customHeight="1" x14ac:dyDescent="0.3">
      <c r="B11" s="40"/>
      <c r="C11" s="41" t="s">
        <v>80</v>
      </c>
      <c r="D11" s="42"/>
    </row>
    <row r="12" spans="2:4" x14ac:dyDescent="0.3">
      <c r="B12" s="31"/>
      <c r="C12" s="34"/>
      <c r="D12" s="33"/>
    </row>
    <row r="13" spans="2:4" x14ac:dyDescent="0.3">
      <c r="B13" s="31"/>
      <c r="C13" s="34"/>
      <c r="D13" s="33"/>
    </row>
    <row r="14" spans="2:4" x14ac:dyDescent="0.3">
      <c r="B14" s="31"/>
      <c r="C14" s="34"/>
      <c r="D14" s="33"/>
    </row>
    <row r="15" spans="2:4" ht="18" x14ac:dyDescent="0.35">
      <c r="B15" s="31"/>
      <c r="C15" s="44" t="s">
        <v>81</v>
      </c>
      <c r="D15" s="33"/>
    </row>
    <row r="16" spans="2:4" x14ac:dyDescent="0.3">
      <c r="B16" s="31"/>
      <c r="C16" s="45" t="s">
        <v>82</v>
      </c>
      <c r="D16" s="33"/>
    </row>
    <row r="17" spans="2:4" x14ac:dyDescent="0.3">
      <c r="B17" s="31"/>
      <c r="C17" s="34" t="s">
        <v>83</v>
      </c>
      <c r="D17" s="33"/>
    </row>
    <row r="18" spans="2:4" ht="28.8" x14ac:dyDescent="0.3">
      <c r="B18" s="31"/>
      <c r="C18" s="46" t="s">
        <v>84</v>
      </c>
      <c r="D18" s="33"/>
    </row>
    <row r="19" spans="2:4" x14ac:dyDescent="0.3">
      <c r="B19" s="47"/>
      <c r="C19" s="48"/>
      <c r="D19" s="49"/>
    </row>
  </sheetData>
  <sheetProtection algorithmName="SHA-512" hashValue="ezbSN8Tu+zBPG3krVoq9bsBVyPhjnmV27kPnsrBMNGQT5GsQcm3ICTAkiVEaILRXGHGHaQDiQ1Ho8QWfVegDWA==" saltValue="mk5RCgcAgjj8rTqESPRpAw==" spinCount="100000" sheet="1" objects="1" scenarios="1"/>
  <hyperlinks>
    <hyperlink ref="C11" r:id="rId1" xr:uid="{9AB49623-F341-4D91-9909-221D3C87906F}"/>
    <hyperlink ref="C15" r:id="rId2" display="Made by Kenji Explains" xr:uid="{E8A42F81-4782-48EF-97A0-522905E9E94A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39DF7-35F2-A64D-BD30-5548C1DDC7B3}">
  <sheetPr codeName="Sheet1"/>
  <dimension ref="B2:E37"/>
  <sheetViews>
    <sheetView showGridLines="0" zoomScale="150" zoomScaleNormal="150" workbookViewId="0">
      <selection activeCell="F11" sqref="F11"/>
    </sheetView>
  </sheetViews>
  <sheetFormatPr defaultColWidth="10.69921875" defaultRowHeight="15.6" x14ac:dyDescent="0.3"/>
  <cols>
    <col min="2" max="2" width="9.5" customWidth="1"/>
    <col min="3" max="3" width="14.5" bestFit="1" customWidth="1"/>
    <col min="4" max="4" width="8.69921875" bestFit="1" customWidth="1"/>
    <col min="5" max="5" width="11.19921875" customWidth="1"/>
  </cols>
  <sheetData>
    <row r="2" spans="2:5" x14ac:dyDescent="0.3">
      <c r="B2" s="7" t="s">
        <v>0</v>
      </c>
      <c r="C2" s="1"/>
      <c r="D2" s="1"/>
      <c r="E2" s="1"/>
    </row>
    <row r="3" spans="2:5" x14ac:dyDescent="0.3">
      <c r="B3" t="s">
        <v>77</v>
      </c>
    </row>
    <row r="5" spans="2:5" x14ac:dyDescent="0.3">
      <c r="B5" s="11" t="s">
        <v>14</v>
      </c>
      <c r="C5" s="11" t="s">
        <v>15</v>
      </c>
      <c r="D5" s="11" t="s">
        <v>16</v>
      </c>
      <c r="E5" s="9" t="s">
        <v>45</v>
      </c>
    </row>
    <row r="6" spans="2:5" x14ac:dyDescent="0.3">
      <c r="B6" s="6">
        <v>1295</v>
      </c>
      <c r="C6" s="6" t="s">
        <v>25</v>
      </c>
      <c r="D6" s="6" t="s">
        <v>19</v>
      </c>
      <c r="E6" s="10">
        <v>2500</v>
      </c>
    </row>
    <row r="7" spans="2:5" x14ac:dyDescent="0.3">
      <c r="B7" s="6">
        <f>B6+3</f>
        <v>1298</v>
      </c>
      <c r="C7" s="6" t="s">
        <v>26</v>
      </c>
      <c r="D7" s="6" t="s">
        <v>20</v>
      </c>
      <c r="E7" s="10">
        <v>100</v>
      </c>
    </row>
    <row r="8" spans="2:5" x14ac:dyDescent="0.3">
      <c r="B8" s="6">
        <f t="shared" ref="B8:B37" si="0">B7+3</f>
        <v>1301</v>
      </c>
      <c r="C8" s="6" t="s">
        <v>27</v>
      </c>
      <c r="D8" s="6" t="s">
        <v>19</v>
      </c>
      <c r="E8" s="10">
        <v>6000</v>
      </c>
    </row>
    <row r="9" spans="2:5" x14ac:dyDescent="0.3">
      <c r="B9" s="6">
        <f t="shared" si="0"/>
        <v>1304</v>
      </c>
      <c r="C9" s="6" t="s">
        <v>28</v>
      </c>
      <c r="D9" s="6" t="s">
        <v>19</v>
      </c>
      <c r="E9" s="10">
        <v>450</v>
      </c>
    </row>
    <row r="10" spans="2:5" x14ac:dyDescent="0.3">
      <c r="B10" s="6">
        <f t="shared" si="0"/>
        <v>1307</v>
      </c>
      <c r="C10" s="6" t="s">
        <v>29</v>
      </c>
      <c r="D10" s="6" t="s">
        <v>23</v>
      </c>
      <c r="E10" s="10">
        <v>320</v>
      </c>
    </row>
    <row r="11" spans="2:5" x14ac:dyDescent="0.3">
      <c r="B11" s="6">
        <f t="shared" si="0"/>
        <v>1310</v>
      </c>
      <c r="C11" s="6" t="s">
        <v>30</v>
      </c>
      <c r="D11" s="6" t="s">
        <v>21</v>
      </c>
      <c r="E11" s="10">
        <v>200</v>
      </c>
    </row>
    <row r="12" spans="2:5" x14ac:dyDescent="0.3">
      <c r="B12" s="6">
        <f t="shared" si="0"/>
        <v>1313</v>
      </c>
      <c r="C12" s="6" t="s">
        <v>31</v>
      </c>
      <c r="D12" s="6" t="s">
        <v>21</v>
      </c>
      <c r="E12" s="10">
        <v>200</v>
      </c>
    </row>
    <row r="13" spans="2:5" x14ac:dyDescent="0.3">
      <c r="B13" s="6">
        <f t="shared" si="0"/>
        <v>1316</v>
      </c>
      <c r="C13" s="6" t="s">
        <v>32</v>
      </c>
      <c r="D13" s="6" t="s">
        <v>23</v>
      </c>
      <c r="E13" s="10">
        <v>999</v>
      </c>
    </row>
    <row r="14" spans="2:5" x14ac:dyDescent="0.3">
      <c r="B14" s="6">
        <f t="shared" si="0"/>
        <v>1319</v>
      </c>
      <c r="C14" s="6" t="s">
        <v>33</v>
      </c>
      <c r="D14" s="6" t="s">
        <v>23</v>
      </c>
      <c r="E14" s="10">
        <v>1000</v>
      </c>
    </row>
    <row r="15" spans="2:5" x14ac:dyDescent="0.3">
      <c r="B15" s="6">
        <f t="shared" si="0"/>
        <v>1322</v>
      </c>
      <c r="C15" s="6" t="s">
        <v>34</v>
      </c>
      <c r="D15" s="6" t="s">
        <v>21</v>
      </c>
      <c r="E15" s="10">
        <v>15000</v>
      </c>
    </row>
    <row r="16" spans="2:5" x14ac:dyDescent="0.3">
      <c r="B16" s="6">
        <f t="shared" si="0"/>
        <v>1325</v>
      </c>
      <c r="C16" s="6" t="s">
        <v>35</v>
      </c>
      <c r="D16" s="6" t="s">
        <v>23</v>
      </c>
      <c r="E16" s="10">
        <v>600</v>
      </c>
    </row>
    <row r="17" spans="2:5" x14ac:dyDescent="0.3">
      <c r="B17" s="6">
        <f t="shared" si="0"/>
        <v>1328</v>
      </c>
      <c r="C17" s="6" t="s">
        <v>36</v>
      </c>
      <c r="D17" s="6" t="s">
        <v>21</v>
      </c>
      <c r="E17" s="10">
        <v>850</v>
      </c>
    </row>
    <row r="18" spans="2:5" x14ac:dyDescent="0.3">
      <c r="B18" s="6">
        <f t="shared" si="0"/>
        <v>1331</v>
      </c>
      <c r="C18" s="6" t="s">
        <v>37</v>
      </c>
      <c r="D18" s="6" t="s">
        <v>21</v>
      </c>
      <c r="E18" s="10">
        <v>1250</v>
      </c>
    </row>
    <row r="19" spans="2:5" x14ac:dyDescent="0.3">
      <c r="B19" s="6">
        <f t="shared" si="0"/>
        <v>1334</v>
      </c>
      <c r="C19" s="6" t="s">
        <v>38</v>
      </c>
      <c r="D19" s="6" t="s">
        <v>23</v>
      </c>
      <c r="E19" s="10">
        <v>4500</v>
      </c>
    </row>
    <row r="20" spans="2:5" x14ac:dyDescent="0.3">
      <c r="B20" s="6">
        <f t="shared" si="0"/>
        <v>1337</v>
      </c>
      <c r="C20" s="6" t="s">
        <v>39</v>
      </c>
      <c r="D20" s="6" t="s">
        <v>23</v>
      </c>
      <c r="E20" s="10">
        <v>3600</v>
      </c>
    </row>
    <row r="21" spans="2:5" x14ac:dyDescent="0.3">
      <c r="B21" s="6">
        <f t="shared" si="0"/>
        <v>1340</v>
      </c>
      <c r="C21" s="6" t="s">
        <v>40</v>
      </c>
      <c r="D21" s="6" t="s">
        <v>24</v>
      </c>
      <c r="E21" s="10">
        <v>850</v>
      </c>
    </row>
    <row r="22" spans="2:5" x14ac:dyDescent="0.3">
      <c r="B22" s="6">
        <f t="shared" si="0"/>
        <v>1343</v>
      </c>
      <c r="C22" s="6" t="s">
        <v>41</v>
      </c>
      <c r="D22" s="6" t="s">
        <v>21</v>
      </c>
      <c r="E22" s="10">
        <v>320</v>
      </c>
    </row>
    <row r="23" spans="2:5" x14ac:dyDescent="0.3">
      <c r="B23" s="6">
        <f t="shared" si="0"/>
        <v>1346</v>
      </c>
      <c r="C23" s="6" t="s">
        <v>42</v>
      </c>
      <c r="D23" s="6" t="s">
        <v>19</v>
      </c>
      <c r="E23" s="10">
        <v>6500</v>
      </c>
    </row>
    <row r="24" spans="2:5" x14ac:dyDescent="0.3">
      <c r="B24" s="6">
        <f t="shared" si="0"/>
        <v>1349</v>
      </c>
      <c r="C24" s="6" t="s">
        <v>43</v>
      </c>
      <c r="D24" s="6" t="s">
        <v>19</v>
      </c>
      <c r="E24" s="10">
        <v>100</v>
      </c>
    </row>
    <row r="25" spans="2:5" x14ac:dyDescent="0.3">
      <c r="B25" s="6">
        <f t="shared" si="0"/>
        <v>1352</v>
      </c>
      <c r="C25" s="6" t="s">
        <v>44</v>
      </c>
      <c r="D25" s="6" t="s">
        <v>19</v>
      </c>
      <c r="E25" s="10">
        <v>550</v>
      </c>
    </row>
    <row r="26" spans="2:5" x14ac:dyDescent="0.3">
      <c r="B26" s="6">
        <f t="shared" si="0"/>
        <v>1355</v>
      </c>
      <c r="C26" t="s">
        <v>46</v>
      </c>
      <c r="D26" s="6" t="s">
        <v>24</v>
      </c>
      <c r="E26" s="10">
        <v>250</v>
      </c>
    </row>
    <row r="27" spans="2:5" x14ac:dyDescent="0.3">
      <c r="B27" s="6">
        <f t="shared" si="0"/>
        <v>1358</v>
      </c>
      <c r="C27" t="s">
        <v>47</v>
      </c>
      <c r="D27" s="6" t="s">
        <v>24</v>
      </c>
      <c r="E27" s="10">
        <v>3000</v>
      </c>
    </row>
    <row r="28" spans="2:5" x14ac:dyDescent="0.3">
      <c r="B28" s="6">
        <f t="shared" si="0"/>
        <v>1361</v>
      </c>
      <c r="C28" t="s">
        <v>48</v>
      </c>
      <c r="D28" s="6" t="s">
        <v>24</v>
      </c>
      <c r="E28" s="10">
        <v>7500</v>
      </c>
    </row>
    <row r="29" spans="2:5" x14ac:dyDescent="0.3">
      <c r="B29" s="6">
        <f t="shared" si="0"/>
        <v>1364</v>
      </c>
      <c r="C29" t="s">
        <v>49</v>
      </c>
      <c r="D29" s="6" t="s">
        <v>24</v>
      </c>
      <c r="E29" s="10">
        <v>450</v>
      </c>
    </row>
    <row r="30" spans="2:5" x14ac:dyDescent="0.3">
      <c r="B30" s="6">
        <f t="shared" si="0"/>
        <v>1367</v>
      </c>
      <c r="C30" t="s">
        <v>50</v>
      </c>
      <c r="D30" s="6" t="s">
        <v>24</v>
      </c>
      <c r="E30" s="10">
        <v>280</v>
      </c>
    </row>
    <row r="31" spans="2:5" x14ac:dyDescent="0.3">
      <c r="B31" s="6">
        <f t="shared" si="0"/>
        <v>1370</v>
      </c>
      <c r="C31" t="s">
        <v>51</v>
      </c>
      <c r="D31" s="6" t="s">
        <v>20</v>
      </c>
      <c r="E31" s="10">
        <v>12500</v>
      </c>
    </row>
    <row r="32" spans="2:5" x14ac:dyDescent="0.3">
      <c r="B32" s="6">
        <f t="shared" si="0"/>
        <v>1373</v>
      </c>
      <c r="C32" t="s">
        <v>52</v>
      </c>
      <c r="D32" s="6" t="s">
        <v>19</v>
      </c>
      <c r="E32" s="10">
        <v>10000</v>
      </c>
    </row>
    <row r="33" spans="2:5" x14ac:dyDescent="0.3">
      <c r="B33" s="6">
        <f t="shared" si="0"/>
        <v>1376</v>
      </c>
      <c r="C33" t="s">
        <v>53</v>
      </c>
      <c r="D33" s="6" t="s">
        <v>19</v>
      </c>
      <c r="E33" s="10">
        <v>780</v>
      </c>
    </row>
    <row r="34" spans="2:5" x14ac:dyDescent="0.3">
      <c r="B34" s="6">
        <f t="shared" si="0"/>
        <v>1379</v>
      </c>
      <c r="C34" t="s">
        <v>54</v>
      </c>
      <c r="D34" s="6" t="s">
        <v>23</v>
      </c>
      <c r="E34" s="10">
        <v>450</v>
      </c>
    </row>
    <row r="35" spans="2:5" x14ac:dyDescent="0.3">
      <c r="B35" s="6">
        <f t="shared" si="0"/>
        <v>1382</v>
      </c>
      <c r="C35" t="s">
        <v>55</v>
      </c>
      <c r="D35" s="6" t="s">
        <v>21</v>
      </c>
      <c r="E35" s="10">
        <v>800</v>
      </c>
    </row>
    <row r="36" spans="2:5" x14ac:dyDescent="0.3">
      <c r="B36" s="6">
        <f t="shared" si="0"/>
        <v>1385</v>
      </c>
      <c r="C36" t="s">
        <v>56</v>
      </c>
      <c r="D36" s="6" t="s">
        <v>21</v>
      </c>
      <c r="E36" s="10">
        <v>800</v>
      </c>
    </row>
    <row r="37" spans="2:5" x14ac:dyDescent="0.3">
      <c r="B37" s="6">
        <f t="shared" si="0"/>
        <v>1388</v>
      </c>
      <c r="C37" t="s">
        <v>57</v>
      </c>
      <c r="D37" s="6" t="s">
        <v>21</v>
      </c>
      <c r="E37" s="10">
        <v>750</v>
      </c>
    </row>
  </sheetData>
  <conditionalFormatting sqref="E5:E37">
    <cfRule type="top10" dxfId="6" priority="1" bottom="1" rank="10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16B05-24BC-E642-9875-A0B3BA9429A7}">
  <sheetPr codeName="Sheet2"/>
  <dimension ref="B2:K10"/>
  <sheetViews>
    <sheetView showGridLines="0" tabSelected="1" zoomScale="150" zoomScaleNormal="150" workbookViewId="0">
      <selection activeCell="E7" sqref="E7"/>
    </sheetView>
  </sheetViews>
  <sheetFormatPr defaultColWidth="10.69921875" defaultRowHeight="15.6" x14ac:dyDescent="0.3"/>
  <cols>
    <col min="1" max="1" width="7.296875" customWidth="1"/>
    <col min="2" max="2" width="8.69921875" customWidth="1"/>
    <col min="3" max="3" width="12.3984375" customWidth="1"/>
    <col min="4" max="4" width="9.8984375" customWidth="1"/>
    <col min="7" max="7" width="9" customWidth="1"/>
    <col min="8" max="8" width="13.19921875" customWidth="1"/>
  </cols>
  <sheetData>
    <row r="2" spans="2:11" x14ac:dyDescent="0.3">
      <c r="B2" s="7" t="s">
        <v>13</v>
      </c>
      <c r="C2" s="1"/>
      <c r="D2" s="1"/>
      <c r="E2" s="1"/>
      <c r="F2" s="1"/>
      <c r="G2" s="1"/>
      <c r="H2" s="1"/>
      <c r="I2" s="1"/>
      <c r="J2" s="1"/>
      <c r="K2" s="1"/>
    </row>
    <row r="3" spans="2:11" x14ac:dyDescent="0.3">
      <c r="B3" t="s">
        <v>76</v>
      </c>
    </row>
    <row r="5" spans="2:11" x14ac:dyDescent="0.3">
      <c r="B5" s="2" t="s">
        <v>6</v>
      </c>
      <c r="C5" s="2" t="s">
        <v>7</v>
      </c>
      <c r="D5" s="2" t="s">
        <v>8</v>
      </c>
      <c r="E5" s="5" t="s">
        <v>9</v>
      </c>
      <c r="G5" s="50" t="s">
        <v>12</v>
      </c>
      <c r="H5" s="50"/>
    </row>
    <row r="6" spans="2:11" x14ac:dyDescent="0.3">
      <c r="B6" s="3" t="s">
        <v>1</v>
      </c>
      <c r="C6" s="4">
        <v>550000</v>
      </c>
      <c r="D6" s="4">
        <v>30000</v>
      </c>
      <c r="E6" s="25" t="str">
        <f>IF(AND(Table2[[#This Row],[Revenue Est.]]&gt;=$H$6,Table2[[#This Row],[Profit Est.]]&gt;=$H$7),"Accept","Reject")</f>
        <v>Accept</v>
      </c>
      <c r="G6" t="s">
        <v>10</v>
      </c>
      <c r="H6" s="4">
        <v>500000</v>
      </c>
    </row>
    <row r="7" spans="2:11" x14ac:dyDescent="0.3">
      <c r="B7" s="3" t="s">
        <v>2</v>
      </c>
      <c r="C7" s="4">
        <v>450000</v>
      </c>
      <c r="D7" s="4">
        <v>350000</v>
      </c>
      <c r="E7" s="25" t="str">
        <f>IF(AND(Table2[[#This Row],[Revenue Est.]]&gt;=$H$6,Table2[[#This Row],[Profit Est.]]&gt;=$H$7),"Accept","Reject")</f>
        <v>Reject</v>
      </c>
      <c r="G7" t="s">
        <v>11</v>
      </c>
      <c r="H7" s="4">
        <v>25000</v>
      </c>
    </row>
    <row r="8" spans="2:11" x14ac:dyDescent="0.3">
      <c r="B8" s="3" t="s">
        <v>3</v>
      </c>
      <c r="C8" s="4">
        <v>295800</v>
      </c>
      <c r="D8" s="4">
        <v>45800</v>
      </c>
      <c r="E8" s="25" t="str">
        <f>IF(AND(Table2[[#This Row],[Revenue Est.]]&gt;=$H$6,Table2[[#This Row],[Profit Est.]]&gt;=$H$7),"Accept","Reject")</f>
        <v>Reject</v>
      </c>
    </row>
    <row r="9" spans="2:11" x14ac:dyDescent="0.3">
      <c r="B9" s="3" t="s">
        <v>4</v>
      </c>
      <c r="C9" s="4">
        <v>780500</v>
      </c>
      <c r="D9" s="4">
        <v>50250</v>
      </c>
      <c r="E9" s="25" t="str">
        <f>IF(AND(Table2[[#This Row],[Revenue Est.]]&gt;=$H$6,Table2[[#This Row],[Profit Est.]]&gt;=$H$7),"Accept","Reject")</f>
        <v>Accept</v>
      </c>
    </row>
    <row r="10" spans="2:11" x14ac:dyDescent="0.3">
      <c r="B10" s="3" t="s">
        <v>5</v>
      </c>
      <c r="C10" s="4">
        <v>805000</v>
      </c>
      <c r="D10" s="4">
        <v>12500</v>
      </c>
      <c r="E10" s="25" t="str">
        <f>IF(AND(Table2[[#This Row],[Revenue Est.]]&gt;=$H$6,Table2[[#This Row],[Profit Est.]]&gt;=$H$7),"Accept","Reject")</f>
        <v>Reject</v>
      </c>
    </row>
  </sheetData>
  <mergeCells count="1">
    <mergeCell ref="G5:H5"/>
  </mergeCells>
  <conditionalFormatting sqref="B6:E10">
    <cfRule type="expression" dxfId="1" priority="1">
      <formula>($E6="Reject")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EE861-84DD-AA4B-8CBC-A00AE9A60A09}">
  <sheetPr codeName="Sheet3"/>
  <dimension ref="B2:F15"/>
  <sheetViews>
    <sheetView showGridLines="0" zoomScale="172" zoomScaleNormal="150" workbookViewId="0">
      <selection activeCell="E14" sqref="E14"/>
    </sheetView>
  </sheetViews>
  <sheetFormatPr defaultColWidth="10.69921875" defaultRowHeight="15.6" x14ac:dyDescent="0.3"/>
  <cols>
    <col min="2" max="2" width="19.69921875" customWidth="1"/>
    <col min="3" max="3" width="9.69921875" customWidth="1"/>
    <col min="4" max="4" width="6.69921875" customWidth="1"/>
  </cols>
  <sheetData>
    <row r="2" spans="2:6" x14ac:dyDescent="0.3">
      <c r="B2" s="7" t="s">
        <v>58</v>
      </c>
      <c r="C2" s="1"/>
      <c r="D2" s="1"/>
      <c r="E2" s="1"/>
      <c r="F2" s="1"/>
    </row>
    <row r="3" spans="2:6" x14ac:dyDescent="0.3">
      <c r="B3" t="s">
        <v>62</v>
      </c>
    </row>
    <row r="5" spans="2:6" x14ac:dyDescent="0.3">
      <c r="B5" s="50" t="s">
        <v>59</v>
      </c>
      <c r="C5" s="50"/>
    </row>
    <row r="6" spans="2:6" x14ac:dyDescent="0.3">
      <c r="B6" t="s">
        <v>64</v>
      </c>
      <c r="C6" s="17">
        <v>29.99</v>
      </c>
      <c r="D6" s="13"/>
      <c r="E6" s="4"/>
    </row>
    <row r="7" spans="2:6" x14ac:dyDescent="0.3">
      <c r="B7" t="s">
        <v>66</v>
      </c>
      <c r="C7" s="17">
        <v>8.5</v>
      </c>
      <c r="D7" s="13"/>
    </row>
    <row r="8" spans="2:6" x14ac:dyDescent="0.3">
      <c r="B8" t="s">
        <v>65</v>
      </c>
      <c r="C8" s="18">
        <v>15000</v>
      </c>
      <c r="D8" s="12"/>
    </row>
    <row r="9" spans="2:6" x14ac:dyDescent="0.3">
      <c r="B9" s="14"/>
      <c r="C9" s="13"/>
    </row>
    <row r="10" spans="2:6" x14ac:dyDescent="0.3">
      <c r="B10" s="50" t="s">
        <v>63</v>
      </c>
      <c r="C10" s="50"/>
    </row>
    <row r="11" spans="2:6" x14ac:dyDescent="0.3">
      <c r="B11" s="3" t="s">
        <v>61</v>
      </c>
      <c r="C11" s="26">
        <v>930.6654257794321</v>
      </c>
      <c r="D11" t="s">
        <v>78</v>
      </c>
    </row>
    <row r="12" spans="2:6" x14ac:dyDescent="0.3">
      <c r="B12" s="3" t="s">
        <v>10</v>
      </c>
      <c r="C12" s="15">
        <f>C6*C11</f>
        <v>27910.656119125168</v>
      </c>
    </row>
    <row r="13" spans="2:6" x14ac:dyDescent="0.3">
      <c r="B13" s="3" t="s">
        <v>67</v>
      </c>
      <c r="C13" s="15">
        <f>-C11*C7</f>
        <v>-7910.6561191251731</v>
      </c>
    </row>
    <row r="14" spans="2:6" x14ac:dyDescent="0.3">
      <c r="B14" s="3" t="s">
        <v>65</v>
      </c>
      <c r="C14" s="15">
        <f>-C8</f>
        <v>-15000</v>
      </c>
    </row>
    <row r="15" spans="2:6" x14ac:dyDescent="0.3">
      <c r="B15" s="19" t="s">
        <v>11</v>
      </c>
      <c r="C15" s="20">
        <f>SUM(C12:C14)</f>
        <v>4999.9999999999927</v>
      </c>
    </row>
  </sheetData>
  <mergeCells count="2">
    <mergeCell ref="B5:C5"/>
    <mergeCell ref="B10:C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CE6B3-66FE-C340-BDD7-8222E316DB03}">
  <sheetPr codeName="Sheet4"/>
  <dimension ref="B2:G22"/>
  <sheetViews>
    <sheetView showGridLines="0" topLeftCell="A4" zoomScale="150" zoomScaleNormal="150" workbookViewId="0">
      <selection activeCell="G18" sqref="G18"/>
    </sheetView>
  </sheetViews>
  <sheetFormatPr defaultColWidth="10.69921875" defaultRowHeight="15.6" x14ac:dyDescent="0.3"/>
  <sheetData>
    <row r="2" spans="2:7" x14ac:dyDescent="0.3">
      <c r="B2" s="7" t="s">
        <v>68</v>
      </c>
      <c r="C2" s="1"/>
      <c r="D2" s="1"/>
      <c r="E2" s="1"/>
      <c r="F2" s="1"/>
      <c r="G2" s="1"/>
    </row>
    <row r="3" spans="2:7" x14ac:dyDescent="0.3">
      <c r="B3" t="s">
        <v>75</v>
      </c>
    </row>
    <row r="5" spans="2:7" x14ac:dyDescent="0.3">
      <c r="B5" s="2" t="s">
        <v>17</v>
      </c>
      <c r="C5" s="24">
        <v>44927</v>
      </c>
      <c r="D5" s="24">
        <f>EDATE(C5,1)</f>
        <v>44958</v>
      </c>
      <c r="E5" s="24">
        <f>EDATE(D5,1)</f>
        <v>44986</v>
      </c>
    </row>
    <row r="6" spans="2:7" x14ac:dyDescent="0.3">
      <c r="B6" t="s">
        <v>22</v>
      </c>
      <c r="C6" s="23">
        <f>SUMIFS($F$11:$F$22,$C$11:$C$22,C$5,$B$11:$B$22,"France")</f>
        <v>33403</v>
      </c>
      <c r="D6" s="23">
        <f>SUMIFS($F$11:$F$22,$C$11:$C$22,D$5,$B$11:$B$22,"France")</f>
        <v>22686</v>
      </c>
      <c r="E6" s="23">
        <f>SUMIFS($F$11:$F$22,$C$11:$C$22,E$5,$B$11:$B$22,"France")</f>
        <v>42588</v>
      </c>
      <c r="F6" t="s">
        <v>73</v>
      </c>
    </row>
    <row r="7" spans="2:7" x14ac:dyDescent="0.3">
      <c r="B7" t="s">
        <v>22</v>
      </c>
      <c r="C7" s="23" cm="1">
        <f t="array" ref="C7">_xlfn.XLOOKUP(1,($B$11:$B$22="France") * ($C$11:$C$22=C$5),$F$11:$F$22)</f>
        <v>33403</v>
      </c>
      <c r="D7" s="23" cm="1">
        <f t="array" ref="D7">_xlfn.XLOOKUP(1,($B$11:$B$22="France") * ($C$11:$C$22=D$5),$F$11:$F$22)</f>
        <v>22686</v>
      </c>
      <c r="E7" s="23" cm="1">
        <f t="array" ref="E7">_xlfn.XLOOKUP(1,($B$11:$B$22="France") * ($C$11:$C$22=E$5),$F$11:$F$22)</f>
        <v>42588</v>
      </c>
      <c r="F7" t="s">
        <v>74</v>
      </c>
    </row>
    <row r="10" spans="2:7" s="6" customFormat="1" x14ac:dyDescent="0.3">
      <c r="B10" s="5" t="s">
        <v>17</v>
      </c>
      <c r="C10" s="5" t="s">
        <v>69</v>
      </c>
      <c r="D10" s="5" t="s">
        <v>60</v>
      </c>
      <c r="E10" s="5" t="s">
        <v>18</v>
      </c>
      <c r="F10" s="5" t="s">
        <v>10</v>
      </c>
    </row>
    <row r="11" spans="2:7" x14ac:dyDescent="0.3">
      <c r="B11" s="3" t="s">
        <v>70</v>
      </c>
      <c r="C11" s="22">
        <v>44927</v>
      </c>
      <c r="D11" s="21">
        <f>F11/E11</f>
        <v>2463.4334103156275</v>
      </c>
      <c r="E11" s="16">
        <v>12.99</v>
      </c>
      <c r="F11" s="8">
        <v>32000</v>
      </c>
    </row>
    <row r="12" spans="2:7" x14ac:dyDescent="0.3">
      <c r="B12" s="3" t="s">
        <v>71</v>
      </c>
      <c r="C12" s="22">
        <v>44927</v>
      </c>
      <c r="D12" s="21">
        <f t="shared" ref="D12:D21" si="0">F12/E12</f>
        <v>705.25050100200406</v>
      </c>
      <c r="E12" s="16">
        <v>24.95</v>
      </c>
      <c r="F12" s="8">
        <v>17596</v>
      </c>
    </row>
    <row r="13" spans="2:7" x14ac:dyDescent="0.3">
      <c r="B13" s="3" t="s">
        <v>72</v>
      </c>
      <c r="C13" s="22">
        <v>44927</v>
      </c>
      <c r="D13" s="21">
        <f t="shared" si="0"/>
        <v>622.12424849699403</v>
      </c>
      <c r="E13" s="16">
        <v>24.95</v>
      </c>
      <c r="F13" s="8">
        <v>15522</v>
      </c>
    </row>
    <row r="14" spans="2:7" x14ac:dyDescent="0.3">
      <c r="B14" s="3" t="s">
        <v>22</v>
      </c>
      <c r="C14" s="22">
        <v>44927</v>
      </c>
      <c r="D14" s="21">
        <f t="shared" si="0"/>
        <v>1674.3358395989976</v>
      </c>
      <c r="E14" s="16">
        <v>19.95</v>
      </c>
      <c r="F14" s="8">
        <v>33403</v>
      </c>
    </row>
    <row r="15" spans="2:7" x14ac:dyDescent="0.3">
      <c r="B15" s="3" t="s">
        <v>70</v>
      </c>
      <c r="C15" s="22">
        <v>44958</v>
      </c>
      <c r="D15" s="21">
        <f t="shared" si="0"/>
        <v>1786.4661654135339</v>
      </c>
      <c r="E15" s="16">
        <v>19.95</v>
      </c>
      <c r="F15" s="8">
        <v>35640</v>
      </c>
    </row>
    <row r="16" spans="2:7" x14ac:dyDescent="0.3">
      <c r="B16" s="3" t="s">
        <v>71</v>
      </c>
      <c r="C16" s="22">
        <v>44958</v>
      </c>
      <c r="D16" s="21">
        <f t="shared" si="0"/>
        <v>1017.4436090225564</v>
      </c>
      <c r="E16" s="16">
        <v>19.95</v>
      </c>
      <c r="F16" s="8">
        <v>20298</v>
      </c>
    </row>
    <row r="17" spans="2:6" x14ac:dyDescent="0.3">
      <c r="B17" s="3" t="s">
        <v>72</v>
      </c>
      <c r="C17" s="22">
        <v>44958</v>
      </c>
      <c r="D17" s="21">
        <f t="shared" si="0"/>
        <v>1196.9924812030076</v>
      </c>
      <c r="E17" s="16">
        <v>19.95</v>
      </c>
      <c r="F17" s="8">
        <v>23880</v>
      </c>
    </row>
    <row r="18" spans="2:6" x14ac:dyDescent="0.3">
      <c r="B18" s="3" t="s">
        <v>22</v>
      </c>
      <c r="C18" s="22">
        <v>44958</v>
      </c>
      <c r="D18" s="21">
        <f t="shared" si="0"/>
        <v>1019.5955056179776</v>
      </c>
      <c r="E18" s="16">
        <v>22.25</v>
      </c>
      <c r="F18" s="8">
        <v>22686</v>
      </c>
    </row>
    <row r="19" spans="2:6" x14ac:dyDescent="0.3">
      <c r="B19" s="3" t="s">
        <v>70</v>
      </c>
      <c r="C19" s="22">
        <v>44986</v>
      </c>
      <c r="D19" s="21">
        <f t="shared" si="0"/>
        <v>957.59398496240601</v>
      </c>
      <c r="E19" s="16">
        <v>19.95</v>
      </c>
      <c r="F19" s="8">
        <v>19104</v>
      </c>
    </row>
    <row r="20" spans="2:6" x14ac:dyDescent="0.3">
      <c r="B20" s="3" t="s">
        <v>71</v>
      </c>
      <c r="C20" s="22">
        <v>44986</v>
      </c>
      <c r="D20" s="21">
        <f t="shared" si="0"/>
        <v>1624.7117794486217</v>
      </c>
      <c r="E20" s="16">
        <v>19.95</v>
      </c>
      <c r="F20" s="8">
        <v>32413</v>
      </c>
    </row>
    <row r="21" spans="2:6" x14ac:dyDescent="0.3">
      <c r="B21" s="3" t="s">
        <v>72</v>
      </c>
      <c r="C21" s="22">
        <v>44986</v>
      </c>
      <c r="D21" s="21">
        <f t="shared" si="0"/>
        <v>1775.6390977443609</v>
      </c>
      <c r="E21" s="16">
        <v>19.95</v>
      </c>
      <c r="F21" s="8">
        <v>35424</v>
      </c>
    </row>
    <row r="22" spans="2:6" x14ac:dyDescent="0.3">
      <c r="B22" s="3" t="s">
        <v>22</v>
      </c>
      <c r="C22" s="22">
        <v>44986</v>
      </c>
      <c r="D22" s="21">
        <f t="shared" ref="D22" si="1">F22/E22</f>
        <v>2134.7368421052633</v>
      </c>
      <c r="E22" s="16">
        <v>19.95</v>
      </c>
      <c r="F22" s="8">
        <v>42588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Page</vt:lpstr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Alexandre Riedo</cp:lastModifiedBy>
  <dcterms:created xsi:type="dcterms:W3CDTF">2023-04-17T08:35:45Z</dcterms:created>
  <dcterms:modified xsi:type="dcterms:W3CDTF">2026-07-21T20:15:42Z</dcterms:modified>
</cp:coreProperties>
</file>